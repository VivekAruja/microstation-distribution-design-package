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n\OneDrive\Music\Documents\microstation-distribution-design-package\calculations\"/>
    </mc:Choice>
  </mc:AlternateContent>
  <xr:revisionPtr revIDLastSave="0" documentId="8_{E063FAB0-2687-4124-92B9-9AAF75DA7775}" xr6:coauthVersionLast="47" xr6:coauthVersionMax="47" xr10:uidLastSave="{00000000-0000-0000-0000-000000000000}"/>
  <bookViews>
    <workbookView xWindow="-120" yWindow="-120" windowWidth="29040" windowHeight="15840" activeTab="3" xr2:uid="{078553C6-7453-43D2-B711-12E5ED34128A}"/>
  </bookViews>
  <sheets>
    <sheet name="Project Inputs" sheetId="1" r:id="rId1"/>
    <sheet name="Voltage Drop Calculation" sheetId="2" r:id="rId2"/>
    <sheet name="Cable Pull Review" sheetId="3" r:id="rId3"/>
    <sheet name="Quantity Takeo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4" l="1"/>
  <c r="B6" i="4"/>
  <c r="B4" i="4"/>
  <c r="B3" i="4"/>
  <c r="D5" i="3"/>
  <c r="D4" i="3"/>
  <c r="D3" i="3"/>
  <c r="B9" i="2"/>
  <c r="B8" i="2"/>
  <c r="B6" i="2"/>
  <c r="B5" i="2"/>
  <c r="B4" i="2"/>
  <c r="B3" i="2"/>
</calcChain>
</file>

<file path=xl/sharedStrings.xml><?xml version="1.0" encoding="utf-8"?>
<sst xmlns="http://schemas.openxmlformats.org/spreadsheetml/2006/main" count="100" uniqueCount="70">
  <si>
    <t>Electrical Distribution Design Package — Project Inputs</t>
  </si>
  <si>
    <t>Input</t>
  </si>
  <si>
    <t>Value</t>
  </si>
  <si>
    <t>Unit</t>
  </si>
  <si>
    <t>Service voltage</t>
  </si>
  <si>
    <t>V</t>
  </si>
  <si>
    <t>Phase</t>
  </si>
  <si>
    <t>phase</t>
  </si>
  <si>
    <t>Customer load</t>
  </si>
  <si>
    <t>kVA</t>
  </si>
  <si>
    <t>Total route length</t>
  </si>
  <si>
    <t>m</t>
  </si>
  <si>
    <t>TX-01 to SE-01</t>
  </si>
  <si>
    <t>PB-01 to SE-01</t>
  </si>
  <si>
    <t>Duct bank configuration</t>
  </si>
  <si>
    <t>4 x 100</t>
  </si>
  <si>
    <t>mm PVC</t>
  </si>
  <si>
    <t>Assumed duct bank depth</t>
  </si>
  <si>
    <t>Existing grade elevation</t>
  </si>
  <si>
    <t>Duct bank elevation</t>
  </si>
  <si>
    <t>Voltage Drop Calculation</t>
  </si>
  <si>
    <t>Parameter</t>
  </si>
  <si>
    <t>Load</t>
  </si>
  <si>
    <t>Voltage</t>
  </si>
  <si>
    <t>Calculated current</t>
  </si>
  <si>
    <t>A</t>
  </si>
  <si>
    <t>Route length</t>
  </si>
  <si>
    <t>Assumed conductor resistance</t>
  </si>
  <si>
    <t>ohm/m</t>
  </si>
  <si>
    <t>Voltage drop</t>
  </si>
  <si>
    <t>Voltage drop percent</t>
  </si>
  <si>
    <t>%</t>
  </si>
  <si>
    <t>Note: This is a simplified preliminary voltage drop check for academic portfolio use only.</t>
  </si>
  <si>
    <t>TX-01 to PB-01</t>
  </si>
  <si>
    <t>Cable Pull Review</t>
  </si>
  <si>
    <t>Pull Segment</t>
  </si>
  <si>
    <t>From</t>
  </si>
  <si>
    <t>To</t>
  </si>
  <si>
    <t>Length (m)</t>
  </si>
  <si>
    <t>Review</t>
  </si>
  <si>
    <t>Segment 1</t>
  </si>
  <si>
    <t>TX-01</t>
  </si>
  <si>
    <t>PB-01</t>
  </si>
  <si>
    <t>Acceptable</t>
  </si>
  <si>
    <t>Segment 2</t>
  </si>
  <si>
    <t>SE-01</t>
  </si>
  <si>
    <t>Total Route</t>
  </si>
  <si>
    <t>Split by pull box</t>
  </si>
  <si>
    <t>Pull box PB-01 splits the 85 m route into two shorter pull segments.</t>
  </si>
  <si>
    <t>This is a simplified cable pull review for academic portfolio use.</t>
  </si>
  <si>
    <t>Final pulling tension and sidewall pressure require manufacturer data and detailed calculation.</t>
  </si>
  <si>
    <t>Quantity Takeoff</t>
  </si>
  <si>
    <t>Item</t>
  </si>
  <si>
    <t>Quantity</t>
  </si>
  <si>
    <t>Basis</t>
  </si>
  <si>
    <t>100 mm PVC duct</t>
  </si>
  <si>
    <t>4 ducts × 85 m</t>
  </si>
  <si>
    <t>Secondary cable route</t>
  </si>
  <si>
    <t>Proposed pull box</t>
  </si>
  <si>
    <t>ea</t>
  </si>
  <si>
    <t>Warning tape</t>
  </si>
  <si>
    <t>Along trench route</t>
  </si>
  <si>
    <t>Trench route</t>
  </si>
  <si>
    <t>Field verification points</t>
  </si>
  <si>
    <t>TX-01, PB-01, SE-01</t>
  </si>
  <si>
    <t>Note: Quantities are preliminary and for academic portfolio use only.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</si>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</sst>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C5AE2-EDDB-4986-8EB6-D70B699AF31B}" name="Table2" displayName="Table2" ref="A1:C12" totalsRowShown="0" dataDxfId="2">
  <autoFilter ref="A1:C12" xr:uid="{B4FC5AE2-EDDB-4986-8EB6-D70B699AF31B}"/>
  <tableColumns count="3">
    <tableColumn id="1" xr3:uid="{359D4F6E-4A90-416C-8C38-76A1152FFF38}" name="Electrical Distribution Design Package — Project Inputs" dataDxfId="5"/>
    <tableColumn id="2" xr3:uid="{2921F648-6E40-4EB9-8696-211A18337400}" name="Column1" dataDxfId="4"/>
    <tableColumn id="3" xr3:uid="{E40FE3BF-3080-47DD-AA2D-8C199478C6F9}" name="Column2" dataDxfId="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1906E6-B07C-4F0A-BCE9-C3C7D156563F}" name="Table3" displayName="Table3" ref="A1:C11" totalsRowShown="0">
  <autoFilter ref="A1:C11" xr:uid="{271906E6-B07C-4F0A-BCE9-C3C7D156563F}"/>
  <tableColumns count="3">
    <tableColumn id="1" xr3:uid="{613C6480-AE6C-4943-BA54-022F29A0A0B0}" name="Voltage Drop Calculation" dataDxfId="1"/>
    <tableColumn id="2" xr3:uid="{C99BC765-B43A-4BC0-8B0B-99B132EA1352}" name="Column1"/>
    <tableColumn id="3" xr3:uid="{2FF21F62-ACF6-48C9-82FC-12F46CC721F1}" name="Column2" data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8116FF-EB4C-4B9E-BA1A-C94DB001F0FE}" name="Table4" displayName="Table4" ref="A1:E10" totalsRowShown="0">
  <autoFilter ref="A1:E10" xr:uid="{F88116FF-EB4C-4B9E-BA1A-C94DB001F0FE}"/>
  <tableColumns count="5">
    <tableColumn id="1" xr3:uid="{330E205A-AE52-439E-BEC2-55ECEC69AC44}" name="Cable Pull Review"/>
    <tableColumn id="2" xr3:uid="{D7D0B35F-0B91-4964-8FB7-16461F8E4E10}" name="Column1"/>
    <tableColumn id="3" xr3:uid="{53B6B38C-BA99-4EB0-814D-6FEEE78AAD21}" name="Column2"/>
    <tableColumn id="4" xr3:uid="{670ED27D-557A-4405-9DDD-102A6B84D042}" name="Column3"/>
    <tableColumn id="5" xr3:uid="{969CE63C-2020-4608-A74C-A5220D8091E1}" name="Column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D017AB-1900-4E1F-AD4E-97371C9E8A8F}" name="Table1" displayName="Table1" ref="A1:D10" totalsRowShown="0" dataDxfId="6">
  <autoFilter ref="A1:D10" xr:uid="{49D017AB-1900-4E1F-AD4E-97371C9E8A8F}"/>
  <tableColumns count="4">
    <tableColumn id="1" xr3:uid="{135AB06E-6C5C-4ABD-B7AF-663EFE53C6FF}" name="Quantity Takeoff" dataDxfId="10"/>
    <tableColumn id="2" xr3:uid="{B70E63FD-7A36-43D7-B10F-D6FC6D4C46A6}" name="Column1" dataDxfId="9"/>
    <tableColumn id="3" xr3:uid="{5C2C2420-B1BC-41F4-AC3A-3C6005ACB3BC}" name="Column2" dataDxfId="8"/>
    <tableColumn id="4" xr3:uid="{0925FB49-1FC0-495B-A60C-D53BC4347A38}" name="Column3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AE23-A79B-4D02-B9F1-C7BE80108C69}">
  <dimension ref="A1:C13"/>
  <sheetViews>
    <sheetView workbookViewId="0">
      <selection activeCell="H17" sqref="H17"/>
    </sheetView>
  </sheetViews>
  <sheetFormatPr defaultRowHeight="15" x14ac:dyDescent="0.25"/>
  <cols>
    <col min="1" max="1" width="55.85546875" customWidth="1"/>
    <col min="2" max="3" width="11" customWidth="1"/>
  </cols>
  <sheetData>
    <row r="1" spans="1:3" x14ac:dyDescent="0.25">
      <c r="A1" s="6" t="s">
        <v>0</v>
      </c>
      <c r="B1" t="s">
        <v>66</v>
      </c>
      <c r="C1" t="s">
        <v>67</v>
      </c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1" t="s">
        <v>4</v>
      </c>
      <c r="B3" s="1">
        <v>600</v>
      </c>
      <c r="C3" s="1" t="s">
        <v>5</v>
      </c>
    </row>
    <row r="4" spans="1:3" x14ac:dyDescent="0.25">
      <c r="A4" s="1" t="s">
        <v>6</v>
      </c>
      <c r="B4" s="1">
        <v>3</v>
      </c>
      <c r="C4" s="1" t="s">
        <v>7</v>
      </c>
    </row>
    <row r="5" spans="1:3" x14ac:dyDescent="0.25">
      <c r="A5" s="1" t="s">
        <v>8</v>
      </c>
      <c r="B5" s="1">
        <v>250</v>
      </c>
      <c r="C5" s="1" t="s">
        <v>9</v>
      </c>
    </row>
    <row r="6" spans="1:3" x14ac:dyDescent="0.25">
      <c r="A6" s="1" t="s">
        <v>10</v>
      </c>
      <c r="B6" s="1">
        <v>85</v>
      </c>
      <c r="C6" s="1" t="s">
        <v>11</v>
      </c>
    </row>
    <row r="7" spans="1:3" x14ac:dyDescent="0.25">
      <c r="A7" s="1" t="s">
        <v>33</v>
      </c>
      <c r="B7" s="1">
        <v>45</v>
      </c>
      <c r="C7" s="1" t="s">
        <v>11</v>
      </c>
    </row>
    <row r="8" spans="1:3" x14ac:dyDescent="0.25">
      <c r="A8" s="1" t="s">
        <v>13</v>
      </c>
      <c r="B8" s="1">
        <v>40</v>
      </c>
      <c r="C8" s="1" t="s">
        <v>11</v>
      </c>
    </row>
    <row r="9" spans="1:3" x14ac:dyDescent="0.25">
      <c r="A9" s="1" t="s">
        <v>14</v>
      </c>
      <c r="B9" s="1" t="s">
        <v>15</v>
      </c>
      <c r="C9" s="1" t="s">
        <v>16</v>
      </c>
    </row>
    <row r="10" spans="1:3" x14ac:dyDescent="0.25">
      <c r="A10" s="1" t="s">
        <v>17</v>
      </c>
      <c r="B10" s="1">
        <v>0.9</v>
      </c>
      <c r="C10" s="1" t="s">
        <v>11</v>
      </c>
    </row>
    <row r="11" spans="1:3" x14ac:dyDescent="0.25">
      <c r="A11" s="1" t="s">
        <v>18</v>
      </c>
      <c r="B11" s="1">
        <v>100</v>
      </c>
      <c r="C11" s="1" t="s">
        <v>11</v>
      </c>
    </row>
    <row r="12" spans="1:3" x14ac:dyDescent="0.25">
      <c r="A12" s="1" t="s">
        <v>19</v>
      </c>
      <c r="B12" s="1">
        <v>99.1</v>
      </c>
      <c r="C12" s="1" t="s">
        <v>11</v>
      </c>
    </row>
    <row r="13" spans="1:3" x14ac:dyDescent="0.25">
      <c r="A13" s="1"/>
      <c r="B13" s="1"/>
      <c r="C1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9FF7-63A0-49F2-AA26-1D487DCA986D}">
  <dimension ref="A1:C11"/>
  <sheetViews>
    <sheetView workbookViewId="0">
      <selection activeCell="E18" sqref="E18"/>
    </sheetView>
  </sheetViews>
  <sheetFormatPr defaultRowHeight="15" x14ac:dyDescent="0.25"/>
  <cols>
    <col min="1" max="1" width="80.85546875" bestFit="1" customWidth="1"/>
    <col min="2" max="3" width="11" customWidth="1"/>
  </cols>
  <sheetData>
    <row r="1" spans="1:3" x14ac:dyDescent="0.25">
      <c r="A1" s="3" t="s">
        <v>20</v>
      </c>
      <c r="B1" t="s">
        <v>66</v>
      </c>
      <c r="C1" t="s">
        <v>67</v>
      </c>
    </row>
    <row r="2" spans="1:3" x14ac:dyDescent="0.25">
      <c r="A2" s="3" t="s">
        <v>21</v>
      </c>
      <c r="B2" s="3" t="s">
        <v>2</v>
      </c>
      <c r="C2" s="3" t="s">
        <v>3</v>
      </c>
    </row>
    <row r="3" spans="1:3" x14ac:dyDescent="0.25">
      <c r="A3" s="1" t="s">
        <v>22</v>
      </c>
      <c r="B3" s="5">
        <f>'Project Inputs'!B5</f>
        <v>250</v>
      </c>
      <c r="C3" s="1" t="s">
        <v>9</v>
      </c>
    </row>
    <row r="4" spans="1:3" x14ac:dyDescent="0.25">
      <c r="A4" s="1" t="s">
        <v>23</v>
      </c>
      <c r="B4" s="5">
        <f>'Project Inputs'!B3</f>
        <v>600</v>
      </c>
      <c r="C4" s="1" t="s">
        <v>5</v>
      </c>
    </row>
    <row r="5" spans="1:3" x14ac:dyDescent="0.25">
      <c r="A5" s="1" t="s">
        <v>24</v>
      </c>
      <c r="B5" s="5">
        <f>B3*1000/(SQRT(3)*B4)</f>
        <v>240.56261216234407</v>
      </c>
      <c r="C5" s="1" t="s">
        <v>25</v>
      </c>
    </row>
    <row r="6" spans="1:3" x14ac:dyDescent="0.25">
      <c r="A6" s="1" t="s">
        <v>26</v>
      </c>
      <c r="B6" s="5">
        <f>'Project Inputs'!B6</f>
        <v>85</v>
      </c>
      <c r="C6" s="1" t="s">
        <v>11</v>
      </c>
    </row>
    <row r="7" spans="1:3" x14ac:dyDescent="0.25">
      <c r="A7" s="1" t="s">
        <v>27</v>
      </c>
      <c r="B7" s="4">
        <v>2.1699999999999999E-4</v>
      </c>
      <c r="C7" s="1" t="s">
        <v>28</v>
      </c>
    </row>
    <row r="8" spans="1:3" x14ac:dyDescent="0.25">
      <c r="A8" s="1" t="s">
        <v>29</v>
      </c>
      <c r="B8" s="5">
        <f>SQRT(3)*B5*B7*B6</f>
        <v>7.6854166666666659</v>
      </c>
      <c r="C8" s="1" t="s">
        <v>5</v>
      </c>
    </row>
    <row r="9" spans="1:3" x14ac:dyDescent="0.25">
      <c r="A9" s="1" t="s">
        <v>30</v>
      </c>
      <c r="B9" s="5">
        <f>B8/B4*100</f>
        <v>1.2809027777777777</v>
      </c>
      <c r="C9" s="1" t="s">
        <v>31</v>
      </c>
    </row>
    <row r="11" spans="1:3" x14ac:dyDescent="0.25">
      <c r="A11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D4AB-874B-4AC7-944D-17D255DFD14A}">
  <dimension ref="A1:E10"/>
  <sheetViews>
    <sheetView workbookViewId="0">
      <selection activeCell="B29" sqref="B29"/>
    </sheetView>
  </sheetViews>
  <sheetFormatPr defaultRowHeight="15" x14ac:dyDescent="0.25"/>
  <cols>
    <col min="1" max="1" width="87.42578125" bestFit="1" customWidth="1"/>
    <col min="2" max="4" width="11" customWidth="1"/>
    <col min="5" max="5" width="14.85546875" bestFit="1" customWidth="1"/>
  </cols>
  <sheetData>
    <row r="1" spans="1:5" x14ac:dyDescent="0.25">
      <c r="A1" s="3" t="s">
        <v>34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</row>
    <row r="3" spans="1:5" x14ac:dyDescent="0.25">
      <c r="A3" s="1" t="s">
        <v>40</v>
      </c>
      <c r="B3" s="1" t="s">
        <v>41</v>
      </c>
      <c r="C3" s="1" t="s">
        <v>42</v>
      </c>
      <c r="D3" s="1">
        <f>'Project Inputs'!B7</f>
        <v>45</v>
      </c>
      <c r="E3" s="1" t="s">
        <v>43</v>
      </c>
    </row>
    <row r="4" spans="1:5" x14ac:dyDescent="0.25">
      <c r="A4" s="1" t="s">
        <v>44</v>
      </c>
      <c r="B4" s="1" t="s">
        <v>42</v>
      </c>
      <c r="C4" s="1" t="s">
        <v>45</v>
      </c>
      <c r="D4" s="1">
        <f>'Project Inputs'!B8</f>
        <v>40</v>
      </c>
      <c r="E4" s="1" t="s">
        <v>43</v>
      </c>
    </row>
    <row r="5" spans="1:5" x14ac:dyDescent="0.25">
      <c r="A5" s="1" t="s">
        <v>46</v>
      </c>
      <c r="B5" s="1" t="s">
        <v>41</v>
      </c>
      <c r="C5" s="1" t="s">
        <v>45</v>
      </c>
      <c r="D5" s="1">
        <f>'Project Inputs'!B6</f>
        <v>85</v>
      </c>
      <c r="E5" s="1" t="s">
        <v>47</v>
      </c>
    </row>
    <row r="8" spans="1:5" x14ac:dyDescent="0.25">
      <c r="A8" t="s">
        <v>48</v>
      </c>
    </row>
    <row r="9" spans="1:5" x14ac:dyDescent="0.25">
      <c r="A9" t="s">
        <v>49</v>
      </c>
    </row>
    <row r="10" spans="1:5" x14ac:dyDescent="0.25">
      <c r="A10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1F11E-C6F3-405E-9E35-19F445738D64}">
  <dimension ref="A1:D10"/>
  <sheetViews>
    <sheetView tabSelected="1" workbookViewId="0">
      <selection activeCell="I15" sqref="I15"/>
    </sheetView>
  </sheetViews>
  <sheetFormatPr defaultRowHeight="15" x14ac:dyDescent="0.25"/>
  <cols>
    <col min="1" max="1" width="63.140625" customWidth="1"/>
    <col min="2" max="3" width="11" customWidth="1"/>
    <col min="4" max="4" width="17.85546875" bestFit="1" customWidth="1"/>
  </cols>
  <sheetData>
    <row r="1" spans="1:4" x14ac:dyDescent="0.25">
      <c r="A1" s="3" t="s">
        <v>51</v>
      </c>
      <c r="B1" t="s">
        <v>66</v>
      </c>
      <c r="C1" t="s">
        <v>67</v>
      </c>
      <c r="D1" t="s">
        <v>68</v>
      </c>
    </row>
    <row r="2" spans="1:4" x14ac:dyDescent="0.25">
      <c r="A2" s="2" t="s">
        <v>52</v>
      </c>
      <c r="B2" s="2" t="s">
        <v>53</v>
      </c>
      <c r="C2" s="2" t="s">
        <v>3</v>
      </c>
      <c r="D2" s="2" t="s">
        <v>54</v>
      </c>
    </row>
    <row r="3" spans="1:4" x14ac:dyDescent="0.25">
      <c r="A3" s="1" t="s">
        <v>55</v>
      </c>
      <c r="B3" s="1">
        <f>4*'Project Inputs'!B6</f>
        <v>340</v>
      </c>
      <c r="C3" s="1" t="s">
        <v>11</v>
      </c>
      <c r="D3" s="1" t="s">
        <v>56</v>
      </c>
    </row>
    <row r="4" spans="1:4" x14ac:dyDescent="0.25">
      <c r="A4" s="1" t="s">
        <v>57</v>
      </c>
      <c r="B4" s="1">
        <f>'Project Inputs'!B6</f>
        <v>85</v>
      </c>
      <c r="C4" s="1" t="s">
        <v>11</v>
      </c>
      <c r="D4" s="1" t="s">
        <v>12</v>
      </c>
    </row>
    <row r="5" spans="1:4" x14ac:dyDescent="0.25">
      <c r="A5" s="1" t="s">
        <v>58</v>
      </c>
      <c r="B5" s="1">
        <v>1</v>
      </c>
      <c r="C5" s="1" t="s">
        <v>59</v>
      </c>
      <c r="D5" s="1" t="s">
        <v>42</v>
      </c>
    </row>
    <row r="6" spans="1:4" x14ac:dyDescent="0.25">
      <c r="A6" s="1" t="s">
        <v>60</v>
      </c>
      <c r="B6" s="1">
        <f>'Project Inputs'!B6</f>
        <v>85</v>
      </c>
      <c r="C6" s="1" t="s">
        <v>11</v>
      </c>
      <c r="D6" s="1" t="s">
        <v>61</v>
      </c>
    </row>
    <row r="7" spans="1:4" x14ac:dyDescent="0.25">
      <c r="A7" s="1" t="s">
        <v>62</v>
      </c>
      <c r="B7" s="1">
        <f>'Project Inputs'!B6</f>
        <v>85</v>
      </c>
      <c r="C7" s="1" t="s">
        <v>11</v>
      </c>
      <c r="D7" s="1" t="s">
        <v>10</v>
      </c>
    </row>
    <row r="8" spans="1:4" x14ac:dyDescent="0.25">
      <c r="A8" s="1" t="s">
        <v>63</v>
      </c>
      <c r="B8" s="1">
        <v>3</v>
      </c>
      <c r="C8" s="1" t="s">
        <v>59</v>
      </c>
      <c r="D8" s="1" t="s">
        <v>64</v>
      </c>
    </row>
    <row r="9" spans="1:4" x14ac:dyDescent="0.25">
      <c r="A9" s="1"/>
      <c r="B9" s="1"/>
      <c r="C9" s="1"/>
      <c r="D9" s="1"/>
    </row>
    <row r="10" spans="1:4" x14ac:dyDescent="0.25">
      <c r="A10" s="1" t="s">
        <v>65</v>
      </c>
      <c r="B10" s="1"/>
      <c r="C10" s="1"/>
      <c r="D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Inputs</vt:lpstr>
      <vt:lpstr>Voltage Drop Calculation</vt:lpstr>
      <vt:lpstr>Cable Pull Review</vt:lpstr>
      <vt:lpstr>Quantity Takeoff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Aruja</dc:creator>
  <cp:lastModifiedBy>Vivek Aruja</cp:lastModifiedBy>
  <dcterms:created xsi:type="dcterms:W3CDTF">2026-06-23T20:31:13Z</dcterms:created>
  <dcterms:modified xsi:type="dcterms:W3CDTF">2026-06-24T03:58:57Z</dcterms:modified>
</cp:coreProperties>
</file>